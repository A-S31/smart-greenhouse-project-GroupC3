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052b766f4b4db1/Desktop/"/>
    </mc:Choice>
  </mc:AlternateContent>
  <xr:revisionPtr revIDLastSave="0" documentId="8_{BF0E05A7-0D3D-4B13-B652-01F95433ED46}" xr6:coauthVersionLast="47" xr6:coauthVersionMax="47" xr10:uidLastSave="{00000000-0000-0000-0000-000000000000}"/>
  <bookViews>
    <workbookView xWindow="11424" yWindow="0" windowWidth="11712" windowHeight="12336" firstSheet="2" activeTab="5" xr2:uid="{C688BD7F-06B5-4CC7-8DF8-5F0233E4610E}"/>
  </bookViews>
  <sheets>
    <sheet name="Soil moisture" sheetId="1" r:id="rId1"/>
    <sheet name="LDR" sheetId="2" r:id="rId2"/>
    <sheet name="Temperature" sheetId="3" r:id="rId3"/>
    <sheet name="Humidity" sheetId="4" r:id="rId4"/>
    <sheet name="flow" sheetId="5" r:id="rId5"/>
    <sheet name="Sheet8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8" l="1"/>
  <c r="F2" i="8" s="1"/>
  <c r="E3" i="8"/>
  <c r="F3" i="8"/>
  <c r="E2" i="5"/>
  <c r="F2" i="5"/>
  <c r="D2" i="4"/>
  <c r="E2" i="4"/>
  <c r="D3" i="4"/>
  <c r="E3" i="4"/>
  <c r="D4" i="4"/>
  <c r="E4" i="4"/>
  <c r="D2" i="3"/>
  <c r="E2" i="3"/>
  <c r="D3" i="3"/>
  <c r="E3" i="3"/>
  <c r="D4" i="3"/>
  <c r="E4" i="3"/>
  <c r="D5" i="3"/>
  <c r="E5" i="3"/>
  <c r="E2" i="2"/>
  <c r="F2" i="2"/>
  <c r="E3" i="2"/>
  <c r="F3" i="2" s="1"/>
  <c r="E4" i="2"/>
  <c r="F4" i="2" s="1"/>
  <c r="E2" i="1"/>
  <c r="F2" i="1"/>
  <c r="E3" i="1"/>
  <c r="F3" i="1"/>
  <c r="E4" i="1"/>
  <c r="F4" i="1"/>
</calcChain>
</file>

<file path=xl/sharedStrings.xml><?xml version="1.0" encoding="utf-8"?>
<sst xmlns="http://schemas.openxmlformats.org/spreadsheetml/2006/main" count="51" uniqueCount="30">
  <si>
    <t>Condition</t>
  </si>
  <si>
    <t>Raw Value</t>
  </si>
  <si>
    <t>Reference (%)</t>
  </si>
  <si>
    <t>Measured (%)</t>
  </si>
  <si>
    <t>Absolute Error</t>
  </si>
  <si>
    <t>Relative Error (%)</t>
  </si>
  <si>
    <t>Dry</t>
  </si>
  <si>
    <t>Semi-wet</t>
  </si>
  <si>
    <t>Wet</t>
  </si>
  <si>
    <t>Darkness</t>
  </si>
  <si>
    <t>Room Light</t>
  </si>
  <si>
    <t>Flashlight</t>
  </si>
  <si>
    <t>Instant</t>
  </si>
  <si>
    <t>Measured (°C)</t>
  </si>
  <si>
    <t>Reference (°C)</t>
  </si>
  <si>
    <t>t1</t>
  </si>
  <si>
    <t>t30</t>
  </si>
  <si>
    <t>t41</t>
  </si>
  <si>
    <t>t60</t>
  </si>
  <si>
    <t>Measured (%RH)</t>
  </si>
  <si>
    <t>Reference (%RH)</t>
  </si>
  <si>
    <t>Pulse Count</t>
  </si>
  <si>
    <t>Reference (L/min)</t>
  </si>
  <si>
    <t>Measured (L/min)</t>
  </si>
  <si>
    <t>Pump ON</t>
  </si>
  <si>
    <t>Pump OFF</t>
  </si>
  <si>
    <t>Reference (kg)</t>
  </si>
  <si>
    <t>Measured (kg)</t>
  </si>
  <si>
    <t>Dry Pot</t>
  </si>
  <si>
    <t>Wet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</si>
</sst>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A23F-32AF-44A3-9062-8B18798324FA}">
  <dimension ref="A1:F4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1001</v>
      </c>
      <c r="C2">
        <v>0</v>
      </c>
      <c r="D2">
        <v>97.9</v>
      </c>
      <c r="E2">
        <f>C2-D2</f>
        <v>-97.9</v>
      </c>
      <c r="F2" t="e">
        <f>ABS(E2/C2)*100</f>
        <v>#DIV/0!</v>
      </c>
    </row>
    <row r="3" spans="1:6" x14ac:dyDescent="0.3">
      <c r="A3" t="s">
        <v>7</v>
      </c>
      <c r="B3">
        <v>338</v>
      </c>
      <c r="C3">
        <v>50</v>
      </c>
      <c r="D3">
        <v>33</v>
      </c>
      <c r="E3">
        <f>C3-D3</f>
        <v>17</v>
      </c>
      <c r="F3">
        <f>ABS(E3/C3)*100</f>
        <v>34</v>
      </c>
    </row>
    <row r="4" spans="1:6" x14ac:dyDescent="0.3">
      <c r="A4" t="s">
        <v>8</v>
      </c>
      <c r="B4">
        <v>289</v>
      </c>
      <c r="C4">
        <v>100</v>
      </c>
      <c r="D4">
        <v>28.3</v>
      </c>
      <c r="E4">
        <f>C4-D4</f>
        <v>71.7</v>
      </c>
      <c r="F4">
        <f>ABS(E4/C4)*100</f>
        <v>71.7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B1FF-E44B-4B27-B344-DA8E9357C10F}">
  <dimension ref="A1:F4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>
        <v>20</v>
      </c>
      <c r="C2">
        <v>0</v>
      </c>
      <c r="D2">
        <v>2</v>
      </c>
      <c r="E2">
        <f>C2-D2</f>
        <v>-2</v>
      </c>
      <c r="F2" t="e">
        <f>ABS(E2/C2)*100</f>
        <v>#DIV/0!</v>
      </c>
    </row>
    <row r="3" spans="1:6" x14ac:dyDescent="0.3">
      <c r="A3" t="s">
        <v>10</v>
      </c>
      <c r="B3">
        <v>900</v>
      </c>
      <c r="C3">
        <v>50</v>
      </c>
      <c r="D3">
        <v>88</v>
      </c>
      <c r="E3">
        <f>C3-D3</f>
        <v>-38</v>
      </c>
      <c r="F3">
        <f>ABS(E3/C3)*100</f>
        <v>76</v>
      </c>
    </row>
    <row r="4" spans="1:6" x14ac:dyDescent="0.3">
      <c r="A4" t="s">
        <v>11</v>
      </c>
      <c r="B4">
        <v>982</v>
      </c>
      <c r="C4">
        <v>100</v>
      </c>
      <c r="D4">
        <v>96</v>
      </c>
      <c r="E4">
        <f>C4-D4</f>
        <v>4</v>
      </c>
      <c r="F4">
        <f>ABS(E4/C4)*100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BE58-B96E-4C7D-9AF9-1D0DFBE0C347}">
  <dimension ref="A1:E5"/>
  <sheetViews>
    <sheetView workbookViewId="0">
      <selection sqref="A1:E5"/>
    </sheetView>
  </sheetViews>
  <sheetFormatPr defaultRowHeight="14.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4</v>
      </c>
      <c r="E1" t="s">
        <v>5</v>
      </c>
    </row>
    <row r="2" spans="1:5" x14ac:dyDescent="0.3">
      <c r="A2" t="s">
        <v>15</v>
      </c>
      <c r="B2">
        <v>33</v>
      </c>
      <c r="C2">
        <v>34.35</v>
      </c>
      <c r="D2">
        <f>B2-C2</f>
        <v>-1.3500000000000014</v>
      </c>
      <c r="E2">
        <f>ABS(D2/C2)*100</f>
        <v>3.9301310043668165</v>
      </c>
    </row>
    <row r="3" spans="1:5" x14ac:dyDescent="0.3">
      <c r="A3" t="s">
        <v>16</v>
      </c>
      <c r="B3">
        <v>33.299999999999997</v>
      </c>
      <c r="C3">
        <v>34.35</v>
      </c>
      <c r="D3">
        <f>B3-C3</f>
        <v>-1.0500000000000043</v>
      </c>
      <c r="E3">
        <f>ABS(D3/C3)*100</f>
        <v>3.0567685589519775</v>
      </c>
    </row>
    <row r="4" spans="1:5" x14ac:dyDescent="0.3">
      <c r="A4" t="s">
        <v>17</v>
      </c>
      <c r="B4">
        <v>34.200000000000003</v>
      </c>
      <c r="C4">
        <v>34.35</v>
      </c>
      <c r="D4">
        <f>B4-C4</f>
        <v>-0.14999999999999858</v>
      </c>
      <c r="E4">
        <f>ABS(D4/C4)*100</f>
        <v>0.43668122270741938</v>
      </c>
    </row>
    <row r="5" spans="1:5" x14ac:dyDescent="0.3">
      <c r="A5" t="s">
        <v>18</v>
      </c>
      <c r="B5">
        <v>35.700000000000003</v>
      </c>
      <c r="C5">
        <v>34.35</v>
      </c>
      <c r="D5">
        <f>B5-C5</f>
        <v>1.3500000000000014</v>
      </c>
      <c r="E5">
        <f>ABS(D5/C5)*100</f>
        <v>3.9301310043668165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CF9B-D6A1-43EC-8413-3B45234D656C}">
  <dimension ref="A1:E4"/>
  <sheetViews>
    <sheetView workbookViewId="0">
      <selection sqref="A1:E4"/>
    </sheetView>
  </sheetViews>
  <sheetFormatPr defaultRowHeight="14.4" x14ac:dyDescent="0.3"/>
  <sheetData>
    <row r="1" spans="1:5" x14ac:dyDescent="0.3">
      <c r="A1" t="s">
        <v>12</v>
      </c>
      <c r="B1" t="s">
        <v>19</v>
      </c>
      <c r="C1" t="s">
        <v>20</v>
      </c>
      <c r="D1" t="s">
        <v>4</v>
      </c>
      <c r="E1" t="s">
        <v>5</v>
      </c>
    </row>
    <row r="2" spans="1:5" x14ac:dyDescent="0.3">
      <c r="A2" t="s">
        <v>15</v>
      </c>
      <c r="B2">
        <v>64</v>
      </c>
      <c r="C2">
        <v>65</v>
      </c>
      <c r="D2">
        <f>B2-C2</f>
        <v>-1</v>
      </c>
      <c r="E2">
        <f>ABS(D2/C2)*100</f>
        <v>1.5384615384615385</v>
      </c>
    </row>
    <row r="3" spans="1:5" x14ac:dyDescent="0.3">
      <c r="A3" t="s">
        <v>16</v>
      </c>
      <c r="B3">
        <v>64</v>
      </c>
      <c r="C3">
        <v>65</v>
      </c>
      <c r="D3">
        <f>B3-C3</f>
        <v>-1</v>
      </c>
      <c r="E3">
        <f>ABS(D3/C3)*100</f>
        <v>1.5384615384615385</v>
      </c>
    </row>
    <row r="4" spans="1:5" x14ac:dyDescent="0.3">
      <c r="A4" t="s">
        <v>18</v>
      </c>
      <c r="B4">
        <v>64</v>
      </c>
      <c r="C4">
        <v>65</v>
      </c>
      <c r="D4">
        <f>B4-C4</f>
        <v>-1</v>
      </c>
      <c r="E4">
        <f>ABS(D4/C4)*100</f>
        <v>1.5384615384615385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E52E-0BDD-4090-A9CB-837AA2931B41}">
  <dimension ref="A1:F3"/>
  <sheetViews>
    <sheetView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 x14ac:dyDescent="0.3">
      <c r="A2" t="s">
        <v>24</v>
      </c>
      <c r="B2">
        <v>75</v>
      </c>
      <c r="C2">
        <v>10</v>
      </c>
      <c r="D2">
        <v>9.8000000000000007</v>
      </c>
      <c r="E2">
        <f>C2-D2</f>
        <v>0.19999999999999929</v>
      </c>
      <c r="F2">
        <f>ABS(E2/C2)*100</f>
        <v>1.9999999999999927</v>
      </c>
    </row>
    <row r="3" spans="1:6" x14ac:dyDescent="0.3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D9AD-8CCB-4A30-A145-0400EAD48AEE}">
  <dimension ref="A1:F3"/>
  <sheetViews>
    <sheetView tabSelected="1"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26</v>
      </c>
      <c r="D1" t="s">
        <v>27</v>
      </c>
      <c r="E1" t="s">
        <v>4</v>
      </c>
      <c r="F1" t="s">
        <v>5</v>
      </c>
    </row>
    <row r="2" spans="1:6" x14ac:dyDescent="0.3">
      <c r="A2" t="s">
        <v>28</v>
      </c>
      <c r="B2">
        <v>1020</v>
      </c>
      <c r="C2">
        <v>0.5</v>
      </c>
      <c r="D2">
        <v>0.48</v>
      </c>
      <c r="E2">
        <f>C2-D2</f>
        <v>2.0000000000000018E-2</v>
      </c>
      <c r="F2">
        <f>ABS(E2/C2)*100</f>
        <v>4.0000000000000036</v>
      </c>
    </row>
    <row r="3" spans="1:6" x14ac:dyDescent="0.3">
      <c r="A3" t="s">
        <v>29</v>
      </c>
      <c r="B3">
        <v>2048</v>
      </c>
      <c r="C3">
        <v>1</v>
      </c>
      <c r="D3">
        <v>0.98</v>
      </c>
      <c r="E3">
        <f>C3-D3</f>
        <v>2.0000000000000018E-2</v>
      </c>
      <c r="F3">
        <f>ABS(E3/C3)*100</f>
        <v>2.0000000000000018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Soil moisture</vt:lpstr>
      <vt:lpstr>LDR</vt:lpstr>
      <vt:lpstr>Temperature</vt:lpstr>
      <vt:lpstr>Humidity</vt:lpstr>
      <vt:lpstr>flow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 hallal</dc:creator>
  <cp:lastModifiedBy>leen hallal</cp:lastModifiedBy>
  <dcterms:created xsi:type="dcterms:W3CDTF">2026-07-15T17:38:53Z</dcterms:created>
  <dcterms:modified xsi:type="dcterms:W3CDTF">2026-07-15T17:46:42Z</dcterms:modified>
</cp:coreProperties>
</file>